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esktop\Coursera\"/>
    </mc:Choice>
  </mc:AlternateContent>
  <xr:revisionPtr revIDLastSave="0" documentId="13_ncr:1_{9D0CADD7-8E15-4156-9730-E05B64C99BB0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Histogram" sheetId="107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8" i="1" l="1"/>
  <c r="H18" i="1"/>
  <c r="H19" i="1"/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E19" i="1"/>
  <c r="I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L11" i="1"/>
  <c r="M11" i="1" s="1"/>
  <c r="L10" i="1"/>
  <c r="M10" i="1" s="1"/>
  <c r="N10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N11" i="1" l="1"/>
  <c r="M12" i="1"/>
  <c r="N12" i="1" l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<sst xmlns="http://schemas.openxmlformats.org/spreadsheetml/2006/main" count="28" uniqueCount="23">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</sst>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-57</c:v>
                </c:pt>
                <c:pt idx="1">
                  <c:v>-51</c:v>
                </c:pt>
                <c:pt idx="2">
                  <c:v>-45</c:v>
                </c:pt>
                <c:pt idx="3">
                  <c:v>-39</c:v>
                </c:pt>
                <c:pt idx="4">
                  <c:v>-33</c:v>
                </c:pt>
                <c:pt idx="5">
                  <c:v>-27</c:v>
                </c:pt>
                <c:pt idx="6">
                  <c:v>-21</c:v>
                </c:pt>
                <c:pt idx="7">
                  <c:v>-15</c:v>
                </c:pt>
                <c:pt idx="8">
                  <c:v>-9</c:v>
                </c:pt>
                <c:pt idx="9">
                  <c:v>-3</c:v>
                </c:pt>
                <c:pt idx="10">
                  <c:v>3</c:v>
                </c:pt>
                <c:pt idx="11">
                  <c:v>9</c:v>
                </c:pt>
                <c:pt idx="12">
                  <c:v>15</c:v>
                </c:pt>
                <c:pt idx="13">
                  <c:v>21</c:v>
                </c:pt>
                <c:pt idx="14">
                  <c:v>27</c:v>
                </c:pt>
                <c:pt idx="15">
                  <c:v>33</c:v>
                </c:pt>
                <c:pt idx="16">
                  <c:v>39</c:v>
                </c:pt>
                <c:pt idx="17">
                  <c:v>45</c:v>
                </c:pt>
                <c:pt idx="18">
                  <c:v>51</c:v>
                </c:pt>
                <c:pt idx="19">
                  <c:v>57</c:v>
                </c:pt>
                <c:pt idx="20">
                  <c:v>63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5</c:v>
                </c:pt>
                <c:pt idx="1">
                  <c:v>16</c:v>
                </c:pt>
                <c:pt idx="2">
                  <c:v>21</c:v>
                </c:pt>
                <c:pt idx="3">
                  <c:v>42</c:v>
                </c:pt>
                <c:pt idx="4">
                  <c:v>59</c:v>
                </c:pt>
                <c:pt idx="5">
                  <c:v>87</c:v>
                </c:pt>
                <c:pt idx="6">
                  <c:v>79</c:v>
                </c:pt>
                <c:pt idx="7">
                  <c:v>103</c:v>
                </c:pt>
                <c:pt idx="8">
                  <c:v>99</c:v>
                </c:pt>
                <c:pt idx="9">
                  <c:v>84</c:v>
                </c:pt>
                <c:pt idx="10">
                  <c:v>83</c:v>
                </c:pt>
                <c:pt idx="11">
                  <c:v>93</c:v>
                </c:pt>
                <c:pt idx="12">
                  <c:v>72</c:v>
                </c:pt>
                <c:pt idx="13">
                  <c:v>65</c:v>
                </c:pt>
                <c:pt idx="14">
                  <c:v>35</c:v>
                </c:pt>
                <c:pt idx="15">
                  <c:v>26</c:v>
                </c:pt>
                <c:pt idx="16">
                  <c:v>9</c:v>
                </c:pt>
                <c:pt idx="17">
                  <c:v>9</c:v>
                </c:pt>
                <c:pt idx="18">
                  <c:v>7</c:v>
                </c:pt>
                <c:pt idx="19">
                  <c:v>2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1-4288-A178-28191CD03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1167600"/>
        <c:axId val="1462516336"/>
      </c:barChart>
      <c:catAx>
        <c:axId val="1461167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516336"/>
        <c:crosses val="autoZero"/>
        <c:auto val="1"/>
        <c:lblAlgn val="ctr"/>
        <c:lblOffset val="100"/>
        <c:noMultiLvlLbl val="0"/>
      </c:catAx>
      <c:valAx>
        <c:axId val="146251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16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B8CA531-92BF-4E2A-B64D-062BCB91AB73}">
  <sheetPr codeName="Chart3"/>
  <sheetViews>
    <sheetView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1</xdr:row>
          <xdr:rowOff>180975</xdr:rowOff>
        </xdr:from>
        <xdr:to>
          <xdr:col>11</xdr:col>
          <xdr:colOff>114300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9CC9CF-1BAC-4387-91CE-12CAF6E88A5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/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11" customWidth="1"/>
    <col min="9" max="10" width="9.140625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5">
        <v>-20</v>
      </c>
      <c r="D3" t="s">
        <v>2</v>
      </c>
      <c r="E3" s="15">
        <v>45.00736381234001</v>
      </c>
      <c r="G3" t="s">
        <v>3</v>
      </c>
      <c r="H3" s="5">
        <v>-7.8107268111310857</v>
      </c>
    </row>
    <row r="4" spans="1:16" ht="15.75" thickBot="1" x14ac:dyDescent="0.3">
      <c r="A4" t="s">
        <v>4</v>
      </c>
      <c r="B4" s="6">
        <v>-14.577451151588765</v>
      </c>
      <c r="D4" t="s">
        <v>5</v>
      </c>
      <c r="E4" s="7">
        <v>0.35</v>
      </c>
      <c r="G4" t="s">
        <v>6</v>
      </c>
      <c r="H4" s="8">
        <v>0.14253456592559816</v>
      </c>
    </row>
    <row r="5" spans="1:16" x14ac:dyDescent="0.25">
      <c r="A5" t="s">
        <v>7</v>
      </c>
      <c r="B5" s="9">
        <v>-90.179459122895679</v>
      </c>
      <c r="H5" s="10"/>
    </row>
    <row r="6" spans="1:16" x14ac:dyDescent="0.25">
      <c r="A6" t="s">
        <v>8</v>
      </c>
      <c r="B6" s="9">
        <v>-18.077569782733917</v>
      </c>
      <c r="E6" t="s">
        <v>9</v>
      </c>
      <c r="H6" s="10"/>
    </row>
    <row r="7" spans="1:16" ht="15.75" thickBot="1" x14ac:dyDescent="0.3">
      <c r="A7" t="s">
        <v>10</v>
      </c>
      <c r="B7" s="14">
        <v>-15.301724333397217</v>
      </c>
      <c r="E7" t="s">
        <v>11</v>
      </c>
      <c r="H7" s="10"/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11">
        <f>0.5*CTDC</f>
        <v>-45.08972956144784</v>
      </c>
      <c r="C10" s="11"/>
      <c r="D10" s="11">
        <f>Cland</f>
        <v>-20</v>
      </c>
      <c r="E10" s="11"/>
      <c r="F10" s="11"/>
      <c r="G10" s="11"/>
      <c r="H10" s="11"/>
      <c r="I10" s="11"/>
      <c r="J10" s="11"/>
      <c r="L10" s="11">
        <f>B10+D10</f>
        <v>-65.08972956144784</v>
      </c>
      <c r="M10" s="11">
        <f>L10/(1+i)^(A10-1)</f>
        <v>-65.08972956144784</v>
      </c>
      <c r="N10" s="11">
        <f>M10</f>
        <v>-65.08972956144784</v>
      </c>
    </row>
    <row r="11" spans="1:16" x14ac:dyDescent="0.25">
      <c r="A11">
        <v>2</v>
      </c>
      <c r="B11" s="11">
        <f>0.5*CTDC</f>
        <v>-45.08972956144784</v>
      </c>
      <c r="C11" s="11">
        <f>WC</f>
        <v>-18.077569782733917</v>
      </c>
      <c r="D11" s="11"/>
      <c r="E11" s="11"/>
      <c r="F11" s="11">
        <f>Cstart</f>
        <v>-15.301724333397217</v>
      </c>
      <c r="G11" s="11"/>
      <c r="H11" s="11"/>
      <c r="I11" s="11"/>
      <c r="J11" s="11"/>
      <c r="L11" s="11">
        <f>B11+C11+F11</f>
        <v>-78.469023677578974</v>
      </c>
      <c r="M11" s="11">
        <f t="shared" ref="M11:M24" si="0">L11/(1+i)^(A11-1)</f>
        <v>-68.679780916745486</v>
      </c>
      <c r="N11" s="11">
        <f>N10+M11</f>
        <v>-133.76951047819333</v>
      </c>
    </row>
    <row r="12" spans="1:16" x14ac:dyDescent="0.25">
      <c r="A12">
        <v>3</v>
      </c>
      <c r="B12" s="11"/>
      <c r="C12" s="11"/>
      <c r="D12" s="11"/>
      <c r="E12" s="11">
        <f t="shared" ref="E12:E24" si="1">Croyal</f>
        <v>-14.577451151588765</v>
      </c>
      <c r="F12" s="11"/>
      <c r="G12" s="11"/>
      <c r="H12" s="11">
        <f>P12*-CTDC</f>
        <v>12.886644708661793</v>
      </c>
      <c r="I12" s="11">
        <f>0.5*S</f>
        <v>22.503681906170005</v>
      </c>
      <c r="J12" s="11">
        <f>0.5*COS</f>
        <v>-3.9053634055655428</v>
      </c>
      <c r="K12" s="11">
        <f>(1-tax)*(I12-J12-H12)</f>
        <v>8.7895603919979397</v>
      </c>
      <c r="L12" s="11">
        <f>K12+H12+E12</f>
        <v>7.0987539490709679</v>
      </c>
      <c r="M12" s="11">
        <f t="shared" si="0"/>
        <v>5.4380528922470832</v>
      </c>
      <c r="N12" s="11">
        <f t="shared" ref="N12:N23" si="2">N11+M12</f>
        <v>-128.33145758594625</v>
      </c>
      <c r="P12" s="12">
        <v>0.1429</v>
      </c>
    </row>
    <row r="13" spans="1:16" x14ac:dyDescent="0.25">
      <c r="A13">
        <v>4</v>
      </c>
      <c r="B13" s="11"/>
      <c r="C13" s="11"/>
      <c r="D13" s="11"/>
      <c r="E13" s="11">
        <f t="shared" si="1"/>
        <v>-14.577451151588765</v>
      </c>
      <c r="F13" s="11"/>
      <c r="G13" s="11"/>
      <c r="H13" s="11">
        <f t="shared" ref="H13:H17" si="3">P13*-CTDC</f>
        <v>22.084949539197151</v>
      </c>
      <c r="I13" s="11">
        <f>0.8*S</f>
        <v>36.005891049872012</v>
      </c>
      <c r="J13" s="11">
        <f>0.8*COS</f>
        <v>-6.2485814489048686</v>
      </c>
      <c r="K13" s="11">
        <f t="shared" ref="K13:K24" si="4">(1-tax)*(I13-J13-H13)</f>
        <v>13.110189923726823</v>
      </c>
      <c r="L13" s="11">
        <f t="shared" ref="L13:L23" si="5">K13+H13+E13</f>
        <v>20.617688311335211</v>
      </c>
      <c r="M13" s="11">
        <f t="shared" si="0"/>
        <v>13.823942731236354</v>
      </c>
      <c r="N13" s="11">
        <f t="shared" si="2"/>
        <v>-114.5075148547099</v>
      </c>
      <c r="P13" s="12">
        <v>0.24490000000000001</v>
      </c>
    </row>
    <row r="14" spans="1:16" x14ac:dyDescent="0.25">
      <c r="A14">
        <v>5</v>
      </c>
      <c r="B14" s="11"/>
      <c r="C14" s="11"/>
      <c r="D14" s="11"/>
      <c r="E14" s="11">
        <f t="shared" si="1"/>
        <v>-14.577451151588765</v>
      </c>
      <c r="F14" s="11"/>
      <c r="G14" s="11"/>
      <c r="H14" s="11">
        <f t="shared" si="3"/>
        <v>15.772387400594454</v>
      </c>
      <c r="I14" s="11">
        <f t="shared" ref="I14:I24" si="6">S</f>
        <v>45.00736381234001</v>
      </c>
      <c r="J14" s="11">
        <f t="shared" ref="J14:J24" si="7">COS</f>
        <v>-7.8107268111310857</v>
      </c>
      <c r="K14" s="11">
        <f t="shared" si="4"/>
        <v>24.079707094869818</v>
      </c>
      <c r="L14" s="11">
        <f t="shared" si="5"/>
        <v>25.274643343875507</v>
      </c>
      <c r="M14" s="11">
        <f t="shared" si="0"/>
        <v>14.832270732266442</v>
      </c>
      <c r="N14" s="11">
        <f t="shared" si="2"/>
        <v>-99.675244122443459</v>
      </c>
      <c r="P14" s="12">
        <v>0.1749</v>
      </c>
    </row>
    <row r="15" spans="1:16" x14ac:dyDescent="0.25">
      <c r="A15">
        <v>6</v>
      </c>
      <c r="B15" s="11"/>
      <c r="C15" s="11"/>
      <c r="D15" s="11"/>
      <c r="E15" s="11">
        <f t="shared" si="1"/>
        <v>-14.577451151588765</v>
      </c>
      <c r="F15" s="11"/>
      <c r="G15" s="11"/>
      <c r="H15" s="11">
        <f t="shared" si="3"/>
        <v>11.263414444449671</v>
      </c>
      <c r="I15" s="11">
        <f t="shared" si="6"/>
        <v>45.00736381234001</v>
      </c>
      <c r="J15" s="11">
        <f t="shared" si="7"/>
        <v>-7.8107268111310857</v>
      </c>
      <c r="K15" s="11">
        <f t="shared" si="4"/>
        <v>27.010539516363924</v>
      </c>
      <c r="L15" s="11">
        <f t="shared" si="5"/>
        <v>23.696502809224828</v>
      </c>
      <c r="M15" s="11">
        <f>L15/(1+i)^(A15-1)</f>
        <v>12.17131540007167</v>
      </c>
      <c r="N15" s="11">
        <f t="shared" si="2"/>
        <v>-87.503928722371796</v>
      </c>
      <c r="P15" s="12">
        <v>0.1249</v>
      </c>
    </row>
    <row r="16" spans="1:16" x14ac:dyDescent="0.25">
      <c r="A16">
        <v>7</v>
      </c>
      <c r="B16" s="11"/>
      <c r="C16" s="11"/>
      <c r="D16" s="11"/>
      <c r="E16" s="11">
        <f t="shared" si="1"/>
        <v>-14.577451151588765</v>
      </c>
      <c r="F16" s="11"/>
      <c r="G16" s="11"/>
      <c r="H16" s="11">
        <f t="shared" si="3"/>
        <v>8.0530256996745848</v>
      </c>
      <c r="I16" s="11">
        <f t="shared" si="6"/>
        <v>45.00736381234001</v>
      </c>
      <c r="J16" s="11">
        <f t="shared" si="7"/>
        <v>-7.8107268111310857</v>
      </c>
      <c r="K16" s="11">
        <f t="shared" si="4"/>
        <v>29.097292200467731</v>
      </c>
      <c r="L16" s="11">
        <f t="shared" si="5"/>
        <v>22.572866748553547</v>
      </c>
      <c r="M16" s="11">
        <f t="shared" si="0"/>
        <v>10.147770344272779</v>
      </c>
      <c r="N16" s="11">
        <f t="shared" si="2"/>
        <v>-77.356158378099025</v>
      </c>
      <c r="P16" s="12">
        <v>8.9300000000000004E-2</v>
      </c>
    </row>
    <row r="17" spans="1:16" x14ac:dyDescent="0.25">
      <c r="A17">
        <v>8</v>
      </c>
      <c r="B17" s="11"/>
      <c r="C17" s="11"/>
      <c r="D17" s="11"/>
      <c r="E17" s="11">
        <f t="shared" si="1"/>
        <v>-14.577451151588765</v>
      </c>
      <c r="F17" s="11"/>
      <c r="G17" s="11"/>
      <c r="H17" s="11">
        <f t="shared" si="3"/>
        <v>8.044007753762294</v>
      </c>
      <c r="I17" s="11">
        <f t="shared" si="6"/>
        <v>45.00736381234001</v>
      </c>
      <c r="J17" s="11">
        <f t="shared" si="7"/>
        <v>-7.8107268111310857</v>
      </c>
      <c r="K17" s="11">
        <f t="shared" si="4"/>
        <v>29.10315386531072</v>
      </c>
      <c r="L17" s="11">
        <f t="shared" si="5"/>
        <v>22.569710467484253</v>
      </c>
      <c r="M17" s="11">
        <f t="shared" si="0"/>
        <v>8.8805640734279088</v>
      </c>
      <c r="N17" s="11">
        <f t="shared" si="2"/>
        <v>-68.47559430467112</v>
      </c>
      <c r="P17" s="12">
        <v>8.9200000000000002E-2</v>
      </c>
    </row>
    <row r="18" spans="1:16" x14ac:dyDescent="0.25">
      <c r="A18">
        <v>9</v>
      </c>
      <c r="B18" s="11"/>
      <c r="C18" s="11"/>
      <c r="D18" s="11"/>
      <c r="E18" s="11">
        <f t="shared" si="1"/>
        <v>-14.577451151588765</v>
      </c>
      <c r="F18" s="11"/>
      <c r="G18" s="11"/>
      <c r="H18" s="11">
        <f>P18*-CTDC</f>
        <v>8.0530256996745848</v>
      </c>
      <c r="I18" s="11">
        <f t="shared" si="6"/>
        <v>45.00736381234001</v>
      </c>
      <c r="J18" s="11">
        <f>COS</f>
        <v>-7.8107268111310857</v>
      </c>
      <c r="K18" s="11">
        <f t="shared" si="4"/>
        <v>29.097292200467731</v>
      </c>
      <c r="L18" s="11">
        <f t="shared" si="5"/>
        <v>22.572866748553547</v>
      </c>
      <c r="M18" s="11">
        <f t="shared" si="0"/>
        <v>7.7737744210381958</v>
      </c>
      <c r="N18" s="11">
        <f t="shared" si="2"/>
        <v>-60.701819883632922</v>
      </c>
      <c r="P18" s="12">
        <v>8.9300000000000004E-2</v>
      </c>
    </row>
    <row r="19" spans="1:16" x14ac:dyDescent="0.25">
      <c r="A19">
        <v>10</v>
      </c>
      <c r="B19" s="11"/>
      <c r="C19" s="11"/>
      <c r="D19" s="11"/>
      <c r="E19" s="11">
        <f t="shared" si="1"/>
        <v>-14.577451151588765</v>
      </c>
      <c r="F19" s="11"/>
      <c r="G19" s="11"/>
      <c r="H19" s="11">
        <f>P19*-CTDC</f>
        <v>4.022003876881147</v>
      </c>
      <c r="I19" s="11">
        <f t="shared" si="6"/>
        <v>45.00736381234001</v>
      </c>
      <c r="J19" s="11">
        <f t="shared" si="7"/>
        <v>-7.8107268111310857</v>
      </c>
      <c r="K19" s="11">
        <f t="shared" si="4"/>
        <v>31.717456385283469</v>
      </c>
      <c r="L19" s="11">
        <f t="shared" si="5"/>
        <v>21.162009110575848</v>
      </c>
      <c r="M19" s="11">
        <f t="shared" si="0"/>
        <v>6.3787086396133121</v>
      </c>
      <c r="N19" s="11">
        <f t="shared" si="2"/>
        <v>-54.323111244019607</v>
      </c>
      <c r="P19" s="12">
        <v>4.4600000000000001E-2</v>
      </c>
    </row>
    <row r="20" spans="1:16" x14ac:dyDescent="0.25">
      <c r="A20">
        <v>11</v>
      </c>
      <c r="B20" s="11"/>
      <c r="C20" s="11"/>
      <c r="D20" s="11"/>
      <c r="E20" s="11">
        <f t="shared" si="1"/>
        <v>-14.577451151588765</v>
      </c>
      <c r="F20" s="11"/>
      <c r="G20" s="11"/>
      <c r="H20" s="11"/>
      <c r="I20" s="11">
        <f t="shared" si="6"/>
        <v>45.00736381234001</v>
      </c>
      <c r="J20" s="11">
        <f t="shared" si="7"/>
        <v>-7.8107268111310857</v>
      </c>
      <c r="K20" s="11">
        <f t="shared" si="4"/>
        <v>34.331758905256208</v>
      </c>
      <c r="L20" s="11">
        <f t="shared" si="5"/>
        <v>19.754307753667444</v>
      </c>
      <c r="M20" s="11">
        <f t="shared" si="0"/>
        <v>5.2115671234884724</v>
      </c>
      <c r="N20" s="11">
        <f t="shared" si="2"/>
        <v>-49.111544120531136</v>
      </c>
    </row>
    <row r="21" spans="1:16" x14ac:dyDescent="0.25">
      <c r="A21">
        <v>12</v>
      </c>
      <c r="B21" s="11"/>
      <c r="C21" s="11"/>
      <c r="D21" s="11"/>
      <c r="E21" s="11">
        <f t="shared" si="1"/>
        <v>-14.577451151588765</v>
      </c>
      <c r="F21" s="11"/>
      <c r="G21" s="11"/>
      <c r="H21" s="11"/>
      <c r="I21" s="11">
        <f t="shared" si="6"/>
        <v>45.00736381234001</v>
      </c>
      <c r="J21" s="11">
        <f t="shared" si="7"/>
        <v>-7.8107268111310857</v>
      </c>
      <c r="K21" s="11">
        <f t="shared" si="4"/>
        <v>34.331758905256208</v>
      </c>
      <c r="L21" s="11">
        <f t="shared" si="5"/>
        <v>19.754307753667444</v>
      </c>
      <c r="M21" s="11">
        <f t="shared" si="0"/>
        <v>4.561408712625199</v>
      </c>
      <c r="N21" s="11">
        <f t="shared" si="2"/>
        <v>-44.550135407905934</v>
      </c>
    </row>
    <row r="22" spans="1:16" x14ac:dyDescent="0.25">
      <c r="A22">
        <v>13</v>
      </c>
      <c r="B22" s="11"/>
      <c r="C22" s="11"/>
      <c r="D22" s="11"/>
      <c r="E22" s="11">
        <f t="shared" si="1"/>
        <v>-14.577451151588765</v>
      </c>
      <c r="F22" s="11"/>
      <c r="G22" s="11"/>
      <c r="H22" s="11"/>
      <c r="I22" s="11">
        <f t="shared" si="6"/>
        <v>45.00736381234001</v>
      </c>
      <c r="J22" s="11">
        <f t="shared" si="7"/>
        <v>-7.8107268111310857</v>
      </c>
      <c r="K22" s="11">
        <f t="shared" si="4"/>
        <v>34.331758905256208</v>
      </c>
      <c r="L22" s="11">
        <f t="shared" si="5"/>
        <v>19.754307753667444</v>
      </c>
      <c r="M22" s="11">
        <f t="shared" si="0"/>
        <v>3.9923594862356553</v>
      </c>
      <c r="N22" s="11">
        <f t="shared" si="2"/>
        <v>-40.557775921670277</v>
      </c>
    </row>
    <row r="23" spans="1:16" ht="15.75" thickBot="1" x14ac:dyDescent="0.3">
      <c r="A23">
        <v>14</v>
      </c>
      <c r="B23" s="11"/>
      <c r="C23" s="11"/>
      <c r="D23" s="11"/>
      <c r="E23" s="11">
        <f t="shared" si="1"/>
        <v>-14.577451151588765</v>
      </c>
      <c r="F23" s="11"/>
      <c r="G23" s="11"/>
      <c r="H23" s="11"/>
      <c r="I23" s="11">
        <f t="shared" si="6"/>
        <v>45.00736381234001</v>
      </c>
      <c r="J23" s="11">
        <f t="shared" si="7"/>
        <v>-7.8107268111310857</v>
      </c>
      <c r="K23" s="11">
        <f t="shared" si="4"/>
        <v>34.331758905256208</v>
      </c>
      <c r="L23" s="11">
        <f t="shared" si="5"/>
        <v>19.754307753667444</v>
      </c>
      <c r="M23" s="11">
        <f t="shared" si="0"/>
        <v>3.4943008336919217</v>
      </c>
      <c r="N23" s="11">
        <f t="shared" si="2"/>
        <v>-37.063475087978354</v>
      </c>
    </row>
    <row r="24" spans="1:16" ht="15.75" thickBot="1" x14ac:dyDescent="0.3">
      <c r="A24">
        <v>15</v>
      </c>
      <c r="B24" s="11"/>
      <c r="C24" s="11">
        <f>-WC</f>
        <v>18.077569782733917</v>
      </c>
      <c r="D24" s="11"/>
      <c r="E24" s="11">
        <f t="shared" si="1"/>
        <v>-14.577451151588765</v>
      </c>
      <c r="F24" s="11"/>
      <c r="G24" s="11"/>
      <c r="H24" s="11"/>
      <c r="I24" s="11">
        <f t="shared" si="6"/>
        <v>45.00736381234001</v>
      </c>
      <c r="J24" s="11">
        <f t="shared" si="7"/>
        <v>-7.8107268111310857</v>
      </c>
      <c r="K24" s="11">
        <f t="shared" si="4"/>
        <v>34.331758905256208</v>
      </c>
      <c r="L24" s="11">
        <f>C24+K24+G24+E24</f>
        <v>37.831877536401365</v>
      </c>
      <c r="M24" s="11">
        <f t="shared" si="0"/>
        <v>5.857159134736424</v>
      </c>
      <c r="N24" s="13">
        <f>N23+M24</f>
        <v>-31.20631595324193</v>
      </c>
    </row>
    <row r="25" spans="1:16" x14ac:dyDescent="0.25">
      <c r="C25" s="3"/>
      <c r="D25" s="2"/>
      <c r="E25" s="4"/>
      <c r="F25" s="2"/>
      <c r="G25" s="1"/>
      <c r="H25" s="1"/>
    </row>
    <row r="26" spans="1:16" x14ac:dyDescent="0.2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9</xdr:col>
                    <xdr:colOff>276225</xdr:colOff>
                    <xdr:row>1</xdr:row>
                    <xdr:rowOff>180975</xdr:rowOff>
                  </from>
                  <to>
                    <xdr:col>11</xdr:col>
                    <xdr:colOff>114300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1"/>
  <sheetViews>
    <sheetView workbookViewId="0">
      <selection sqref="A1:B21"/>
    </sheetView>
  </sheetViews>
  <sheetFormatPr defaultRowHeight="15" x14ac:dyDescent="0.25"/>
  <sheetData>
    <row r="1" spans="1:2" x14ac:dyDescent="0.25">
      <c r="A1">
        <v>-57</v>
      </c>
      <c r="B1">
        <v>5</v>
      </c>
    </row>
    <row r="2" spans="1:2" x14ac:dyDescent="0.25">
      <c r="A2">
        <v>-51</v>
      </c>
      <c r="B2">
        <v>16</v>
      </c>
    </row>
    <row r="3" spans="1:2" x14ac:dyDescent="0.25">
      <c r="A3">
        <v>-45</v>
      </c>
      <c r="B3">
        <v>21</v>
      </c>
    </row>
    <row r="4" spans="1:2" x14ac:dyDescent="0.25">
      <c r="A4">
        <v>-39</v>
      </c>
      <c r="B4">
        <v>42</v>
      </c>
    </row>
    <row r="5" spans="1:2" x14ac:dyDescent="0.25">
      <c r="A5">
        <v>-33</v>
      </c>
      <c r="B5">
        <v>59</v>
      </c>
    </row>
    <row r="6" spans="1:2" x14ac:dyDescent="0.25">
      <c r="A6">
        <v>-27</v>
      </c>
      <c r="B6">
        <v>87</v>
      </c>
    </row>
    <row r="7" spans="1:2" x14ac:dyDescent="0.25">
      <c r="A7">
        <v>-21</v>
      </c>
      <c r="B7">
        <v>79</v>
      </c>
    </row>
    <row r="8" spans="1:2" x14ac:dyDescent="0.25">
      <c r="A8">
        <v>-15</v>
      </c>
      <c r="B8">
        <v>103</v>
      </c>
    </row>
    <row r="9" spans="1:2" x14ac:dyDescent="0.25">
      <c r="A9">
        <v>-9</v>
      </c>
      <c r="B9">
        <v>99</v>
      </c>
    </row>
    <row r="10" spans="1:2" x14ac:dyDescent="0.25">
      <c r="A10">
        <v>-3</v>
      </c>
      <c r="B10">
        <v>84</v>
      </c>
    </row>
    <row r="11" spans="1:2" x14ac:dyDescent="0.25">
      <c r="A11">
        <v>3</v>
      </c>
      <c r="B11">
        <v>83</v>
      </c>
    </row>
    <row r="12" spans="1:2" x14ac:dyDescent="0.25">
      <c r="A12">
        <v>9</v>
      </c>
      <c r="B12">
        <v>93</v>
      </c>
    </row>
    <row r="13" spans="1:2" x14ac:dyDescent="0.25">
      <c r="A13">
        <v>15</v>
      </c>
      <c r="B13">
        <v>72</v>
      </c>
    </row>
    <row r="14" spans="1:2" x14ac:dyDescent="0.25">
      <c r="A14">
        <v>21</v>
      </c>
      <c r="B14">
        <v>65</v>
      </c>
    </row>
    <row r="15" spans="1:2" x14ac:dyDescent="0.25">
      <c r="A15">
        <v>27</v>
      </c>
      <c r="B15">
        <v>35</v>
      </c>
    </row>
    <row r="16" spans="1:2" x14ac:dyDescent="0.25">
      <c r="A16">
        <v>33</v>
      </c>
      <c r="B16">
        <v>26</v>
      </c>
    </row>
    <row r="17" spans="1:2" x14ac:dyDescent="0.25">
      <c r="A17">
        <v>39</v>
      </c>
      <c r="B17">
        <v>9</v>
      </c>
    </row>
    <row r="18" spans="1:2" x14ac:dyDescent="0.25">
      <c r="A18">
        <v>45</v>
      </c>
      <c r="B18">
        <v>9</v>
      </c>
    </row>
    <row r="19" spans="1:2" x14ac:dyDescent="0.25">
      <c r="A19">
        <v>51</v>
      </c>
      <c r="B19">
        <v>7</v>
      </c>
    </row>
    <row r="20" spans="1:2" x14ac:dyDescent="0.25">
      <c r="A20">
        <v>57</v>
      </c>
      <c r="B20">
        <v>2</v>
      </c>
    </row>
    <row r="21" spans="1:2" x14ac:dyDescent="0.25">
      <c r="A21">
        <v>63</v>
      </c>
      <c r="B2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Miguel A</cp:lastModifiedBy>
  <dcterms:created xsi:type="dcterms:W3CDTF">2013-10-29T18:00:12Z</dcterms:created>
  <dcterms:modified xsi:type="dcterms:W3CDTF">2020-02-18T14:38:34Z</dcterms:modified>
</cp:coreProperties>
</file>